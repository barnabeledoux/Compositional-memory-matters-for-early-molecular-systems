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ich\OneDrive\Documents\水内研\Lacoste先生共同研究\251007 zoom\"/>
    </mc:Choice>
  </mc:AlternateContent>
  <xr:revisionPtr revIDLastSave="0" documentId="13_ncr:1_{075728C3-9219-41D0-8F93-CD44BD8D162D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251007_Xto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7" i="2" l="1"/>
  <c r="H9" i="2" l="1"/>
  <c r="H10" i="2"/>
  <c r="M11" i="2" l="1"/>
  <c r="I7" i="2"/>
  <c r="M18" i="2" s="1"/>
  <c r="I13" i="2"/>
  <c r="H13" i="2"/>
  <c r="M10" i="2" s="1"/>
  <c r="I14" i="2"/>
  <c r="N17" i="2" s="1"/>
  <c r="I19" i="2"/>
  <c r="P15" i="2" s="1"/>
  <c r="H19" i="2"/>
  <c r="P8" i="2" s="1"/>
  <c r="I17" i="2"/>
  <c r="N16" i="2" s="1"/>
  <c r="H17" i="2"/>
  <c r="N9" i="2" s="1"/>
  <c r="H20" i="2"/>
  <c r="P9" i="2" s="1"/>
  <c r="I20" i="2"/>
  <c r="P16" i="2" s="1"/>
  <c r="H11" i="2"/>
  <c r="N8" i="2" s="1"/>
  <c r="I11" i="2"/>
  <c r="N15" i="2" s="1"/>
  <c r="I9" i="2"/>
  <c r="O18" i="2" s="1"/>
  <c r="O11" i="2"/>
  <c r="H12" i="2"/>
  <c r="O8" i="2" s="1"/>
  <c r="I12" i="2"/>
  <c r="O15" i="2" s="1"/>
  <c r="I10" i="2"/>
  <c r="M15" i="2" s="1"/>
  <c r="M8" i="2"/>
  <c r="N11" i="2"/>
  <c r="I8" i="2"/>
  <c r="N18" i="2" s="1"/>
  <c r="I16" i="2"/>
  <c r="M16" i="2" s="1"/>
  <c r="H16" i="2"/>
  <c r="M9" i="2" s="1"/>
  <c r="I22" i="2"/>
  <c r="P18" i="2" s="1"/>
  <c r="H22" i="2"/>
  <c r="P11" i="2" s="1"/>
  <c r="M17" i="2"/>
  <c r="H14" i="2" l="1"/>
  <c r="N10" i="2" s="1"/>
  <c r="I21" i="2"/>
  <c r="P17" i="2" s="1"/>
  <c r="H15" i="2"/>
  <c r="O10" i="2" s="1"/>
  <c r="I15" i="2"/>
  <c r="O17" i="2" s="1"/>
  <c r="H21" i="2"/>
  <c r="P10" i="2" s="1"/>
  <c r="I18" i="2"/>
  <c r="O16" i="2" s="1"/>
  <c r="H18" i="2"/>
  <c r="O9" i="2" s="1"/>
</calcChain>
</file>

<file path=xl/sharedStrings.xml><?xml version="1.0" encoding="utf-8"?>
<sst xmlns="http://schemas.openxmlformats.org/spreadsheetml/2006/main" count="83" uniqueCount="45">
  <si>
    <t>se</t>
  </si>
  <si>
    <t>#6</t>
  </si>
  <si>
    <t>#5</t>
  </si>
  <si>
    <t>#4</t>
  </si>
  <si>
    <t>#3</t>
  </si>
  <si>
    <t>#2</t>
  </si>
  <si>
    <t>#1</t>
  </si>
  <si>
    <t>#7</t>
  </si>
  <si>
    <t>-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</si>
  <si>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</si>
  <si>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</si>
  <si>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</si>
  <si>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</si>
  <si>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</si>
  <si>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</si>
  <si>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</si>
  <si>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</si>
  <si>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</si>
  <si>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251007_Xtot</t>
    <phoneticPr fontId="3"/>
  </si>
  <si>
    <t>homogenization speed (krpm)</t>
    <phoneticPr fontId="6"/>
  </si>
  <si>
    <t>Xtot</t>
    <phoneticPr fontId="3"/>
  </si>
  <si>
    <t>Sample</t>
    <phoneticPr fontId="3"/>
  </si>
  <si>
    <t>dilution rate</t>
    <phoneticPr fontId="6"/>
  </si>
  <si>
    <t>(raw data, nM)</t>
    <phoneticPr fontId="3"/>
  </si>
  <si>
    <t>1st</t>
    <phoneticPr fontId="3"/>
  </si>
  <si>
    <t>2nd</t>
    <phoneticPr fontId="3"/>
  </si>
  <si>
    <t>3rd</t>
    <phoneticPr fontId="3"/>
  </si>
  <si>
    <t>4th</t>
    <phoneticPr fontId="3"/>
  </si>
  <si>
    <t>trials</t>
    <phoneticPr fontId="3"/>
  </si>
  <si>
    <t>n=3</t>
    <phoneticPr fontId="3"/>
  </si>
  <si>
    <t>n=4(2, 16 krpm), n=3(5.2 krpm)</t>
    <phoneticPr fontId="3"/>
  </si>
  <si>
    <t>Average of Xtot</t>
    <phoneticPr fontId="3"/>
  </si>
  <si>
    <t>standard error (se)</t>
    <phoneticPr fontId="6"/>
  </si>
  <si>
    <t>Graph</t>
    <phoneticPr fontId="2"/>
  </si>
  <si>
    <t>Xtot after 5 h incubation</t>
    <phoneticPr fontId="3"/>
  </si>
  <si>
    <t>Average (the table for graph)</t>
    <phoneticPr fontId="2"/>
  </si>
  <si>
    <t>d</t>
    <phoneticPr fontId="3"/>
  </si>
  <si>
    <t>homogenization speed (krpm)</t>
    <phoneticPr fontId="3"/>
  </si>
  <si>
    <t>3 h, 16 krpm</t>
  </si>
  <si>
    <t>xtot</t>
  </si>
  <si>
    <t>5 h, 30 krpm</t>
  </si>
  <si>
    <t>3 h, 2 krpm</t>
  </si>
  <si>
    <t>3 h, 5.2 krpm</t>
  </si>
  <si>
    <t>Host final conc cs Xtot</t>
    <phoneticPr fontId="3"/>
  </si>
  <si>
    <t>Host final conc (nM)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</si>
</sst>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"/>
      <family val="2"/>
    </font>
    <font>
      <sz val="11"/>
      <name val="Segoe UI"/>
      <family val="2"/>
    </font>
    <font>
      <sz val="6"/>
      <name val="Yu Gothic"/>
      <family val="2"/>
      <charset val="128"/>
      <scheme val="minor"/>
    </font>
    <font>
      <b/>
      <sz val="11"/>
      <name val="Segoe UI"/>
      <family val="2"/>
    </font>
    <font>
      <b/>
      <sz val="11"/>
      <color theme="1"/>
      <name val="Segoe UI"/>
      <family val="2"/>
    </font>
    <font>
      <b/>
      <sz val="11"/>
      <name val="Segoe UI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9">
    <xf numFmtId="0" fontId="0" fillId="0" borderId="0" xfId="0"/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1" applyFont="1">
      <alignment vertical="center"/>
    </xf>
    <xf numFmtId="0" fontId="4" fillId="0" borderId="2" xfId="1" applyFont="1" applyBorder="1">
      <alignment vertical="center"/>
    </xf>
    <xf numFmtId="0" fontId="8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9" fontId="4" fillId="0" borderId="0" xfId="1" applyNumberFormat="1" applyFont="1" applyAlignment="1">
      <alignment horizontal="center" vertical="center"/>
    </xf>
    <xf numFmtId="176" fontId="4" fillId="2" borderId="0" xfId="1" applyNumberFormat="1" applyFont="1" applyFill="1">
      <alignment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1" applyNumberFormat="1" applyFont="1">
      <alignment vertical="center"/>
    </xf>
    <xf numFmtId="176" fontId="4" fillId="0" borderId="0" xfId="1" applyNumberFormat="1" applyFont="1" applyAlignment="1">
      <alignment horizontal="center" vertical="center"/>
    </xf>
    <xf numFmtId="9" fontId="4" fillId="0" borderId="2" xfId="1" applyNumberFormat="1" applyFont="1" applyBorder="1" applyAlignment="1">
      <alignment horizontal="center" vertical="center"/>
    </xf>
    <xf numFmtId="176" fontId="4" fillId="2" borderId="2" xfId="1" applyNumberFormat="1" applyFont="1" applyFill="1" applyBorder="1">
      <alignment vertical="center"/>
    </xf>
    <xf numFmtId="0" fontId="4" fillId="0" borderId="0" xfId="0" applyFont="1" applyAlignment="1">
      <alignment vertical="center"/>
    </xf>
    <xf numFmtId="0" fontId="8" fillId="0" borderId="0" xfId="1" applyFont="1" applyAlignment="1">
      <alignment horizontal="left" vertical="center"/>
    </xf>
    <xf numFmtId="0" fontId="8" fillId="0" borderId="1" xfId="1" applyFont="1" applyBorder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3" xfId="1" applyFont="1" applyBorder="1">
      <alignment vertical="center"/>
    </xf>
    <xf numFmtId="0" fontId="4" fillId="0" borderId="5" xfId="1" applyFont="1" applyBorder="1">
      <alignment vertical="center"/>
    </xf>
    <xf numFmtId="0" fontId="8" fillId="0" borderId="4" xfId="1" applyFont="1" applyBorder="1">
      <alignment vertical="center"/>
    </xf>
    <xf numFmtId="0" fontId="8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8" fillId="0" borderId="5" xfId="1" applyFont="1" applyBorder="1" applyAlignment="1">
      <alignment horizontal="center" vertical="center"/>
    </xf>
    <xf numFmtId="9" fontId="4" fillId="0" borderId="4" xfId="1" applyNumberFormat="1" applyFont="1" applyBorder="1" applyAlignment="1">
      <alignment horizontal="center" vertical="center"/>
    </xf>
    <xf numFmtId="0" fontId="8" fillId="2" borderId="0" xfId="1" applyFont="1" applyFill="1">
      <alignment vertical="center"/>
    </xf>
    <xf numFmtId="0" fontId="8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4" fillId="2" borderId="0" xfId="1" applyFont="1" applyFill="1">
      <alignment vertical="center"/>
    </xf>
  </cellXfs>
  <cellStyles count="2">
    <cellStyle name="標準" xfId="0" builtinId="0"/>
    <cellStyle name="標準 2" xfId="1" xr:uid="{515E508E-E430-4760-A206-D487110F2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994180246312458"/>
          <c:y val="5.8542224684360405E-2"/>
          <c:w val="0.75605593102827773"/>
          <c:h val="0.803773847761739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'251007_Xtot'!$L$8</c:f>
              <c:strCache>
                <c:ptCount val="1"/>
                <c:pt idx="0">
                  <c:v>1%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5B9BD5">
                  <a:lumMod val="50000"/>
                </a:srgbClr>
              </a:solidFill>
              <a:ln w="9525">
                <a:solidFill>
                  <a:srgbClr val="5B9BD5">
                    <a:lumMod val="50000"/>
                    <a:alpha val="98000"/>
                  </a:srgb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'251007_Xtot'!$M$15:$Q$15</c:f>
                <c:numCache>
                  <c:formatCode>General</c:formatCode>
                  <c:ptCount val="5"/>
                  <c:pt idx="0">
                    <c:v>0.10495597030384593</c:v>
                  </c:pt>
                  <c:pt idx="1">
                    <c:v>7.0413537303161702E-2</c:v>
                  </c:pt>
                  <c:pt idx="2">
                    <c:v>8.6299419013508669E-2</c:v>
                  </c:pt>
                  <c:pt idx="3">
                    <c:v>7.6238865346452772E-2</c:v>
                  </c:pt>
                  <c:pt idx="4">
                    <c:v>0</c:v>
                  </c:pt>
                </c:numCache>
              </c:numRef>
            </c:plus>
            <c:minus>
              <c:numRef>
                <c:f>'251007_Xtot'!$M$15:$P$15</c:f>
                <c:numCache>
                  <c:formatCode>General</c:formatCode>
                  <c:ptCount val="4"/>
                  <c:pt idx="0">
                    <c:v>0.10495597030384593</c:v>
                  </c:pt>
                  <c:pt idx="1">
                    <c:v>7.0413537303161702E-2</c:v>
                  </c:pt>
                  <c:pt idx="2">
                    <c:v>8.6299419013508669E-2</c:v>
                  </c:pt>
                  <c:pt idx="3">
                    <c:v>7.6238865346452772E-2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'251007_Xtot'!$M$7:$P$7</c:f>
              <c:numCache>
                <c:formatCode>General</c:formatCode>
                <c:ptCount val="4"/>
                <c:pt idx="0">
                  <c:v>2</c:v>
                </c:pt>
                <c:pt idx="1">
                  <c:v>5.2</c:v>
                </c:pt>
                <c:pt idx="2">
                  <c:v>16</c:v>
                </c:pt>
                <c:pt idx="3">
                  <c:v>30</c:v>
                </c:pt>
              </c:numCache>
            </c:numRef>
          </c:xVal>
          <c:yVal>
            <c:numRef>
              <c:f>'251007_Xtot'!$M$8:$P$8</c:f>
              <c:numCache>
                <c:formatCode>0.000000</c:formatCode>
                <c:ptCount val="4"/>
                <c:pt idx="0">
                  <c:v>0.4215126830954028</c:v>
                </c:pt>
                <c:pt idx="1">
                  <c:v>0.36343719328574159</c:v>
                </c:pt>
                <c:pt idx="2" formatCode="General">
                  <c:v>0.56572171741560773</c:v>
                </c:pt>
                <c:pt idx="3">
                  <c:v>0.80669368133297292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A-47B6-93F1-1721985187F3}"/>
            </c:ext>
          </c:extLst>
        </c:ser>
        <c:ser>
          <c:idx val="1"/>
          <c:order val="1"/>
          <c:tx>
            <c:strRef>
              <c:f>'251007_Xtot'!$L$9</c:f>
              <c:strCache>
                <c:ptCount val="1"/>
                <c:pt idx="0">
                  <c:v>4%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5B9BD5"/>
              </a:solidFill>
              <a:ln w="9525">
                <a:solidFill>
                  <a:srgbClr val="5B9BD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'251007_Xtot'!$M$16:$P$16</c:f>
                <c:numCache>
                  <c:formatCode>General</c:formatCode>
                  <c:ptCount val="4"/>
                  <c:pt idx="0">
                    <c:v>3.1018102739882848E-2</c:v>
                  </c:pt>
                  <c:pt idx="1">
                    <c:v>8.6120050562793385E-2</c:v>
                  </c:pt>
                  <c:pt idx="2">
                    <c:v>8.3362680924160021E-2</c:v>
                  </c:pt>
                  <c:pt idx="3">
                    <c:v>3.8956403561912288E-2</c:v>
                  </c:pt>
                </c:numCache>
              </c:numRef>
            </c:plus>
            <c:minus>
              <c:numRef>
                <c:f>'251007_Xtot'!$M$16:$P$16</c:f>
                <c:numCache>
                  <c:formatCode>General</c:formatCode>
                  <c:ptCount val="4"/>
                  <c:pt idx="0">
                    <c:v>3.1018102739882848E-2</c:v>
                  </c:pt>
                  <c:pt idx="1">
                    <c:v>8.6120050562793385E-2</c:v>
                  </c:pt>
                  <c:pt idx="2">
                    <c:v>8.3362680924160021E-2</c:v>
                  </c:pt>
                  <c:pt idx="3">
                    <c:v>3.8956403561912288E-2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'251007_Xtot'!$M$7:$P$7</c:f>
              <c:numCache>
                <c:formatCode>General</c:formatCode>
                <c:ptCount val="4"/>
                <c:pt idx="0">
                  <c:v>2</c:v>
                </c:pt>
                <c:pt idx="1">
                  <c:v>5.2</c:v>
                </c:pt>
                <c:pt idx="2">
                  <c:v>16</c:v>
                </c:pt>
                <c:pt idx="3">
                  <c:v>30</c:v>
                </c:pt>
              </c:numCache>
            </c:numRef>
          </c:xVal>
          <c:yVal>
            <c:numRef>
              <c:f>'251007_Xtot'!$M$9:$P$9</c:f>
              <c:numCache>
                <c:formatCode>General</c:formatCode>
                <c:ptCount val="4"/>
                <c:pt idx="0" formatCode="0.000000">
                  <c:v>0.34188442237128802</c:v>
                </c:pt>
                <c:pt idx="1">
                  <c:v>0.41198835272336692</c:v>
                </c:pt>
                <c:pt idx="2">
                  <c:v>0.58103424992835162</c:v>
                </c:pt>
                <c:pt idx="3">
                  <c:v>0.82315146252082361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A-47B6-93F1-1721985187F3}"/>
            </c:ext>
          </c:extLst>
        </c:ser>
        <c:ser>
          <c:idx val="2"/>
          <c:order val="2"/>
          <c:tx>
            <c:strRef>
              <c:f>'251007_Xtot'!$L$10</c:f>
              <c:strCache>
                <c:ptCount val="1"/>
                <c:pt idx="0">
                  <c:v>20%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'251007_Xtot'!$M$17:$P$17</c:f>
                <c:numCache>
                  <c:formatCode>General</c:formatCode>
                  <c:ptCount val="4"/>
                  <c:pt idx="0">
                    <c:v>3.3455639602464622E-2</c:v>
                  </c:pt>
                  <c:pt idx="1">
                    <c:v>5.3712259468115565E-2</c:v>
                  </c:pt>
                  <c:pt idx="2">
                    <c:v>7.7581360739386956E-2</c:v>
                  </c:pt>
                  <c:pt idx="3">
                    <c:v>5.221320362040837E-2</c:v>
                  </c:pt>
                </c:numCache>
              </c:numRef>
            </c:plus>
            <c:minus>
              <c:numRef>
                <c:f>'251007_Xtot'!$M$17:$P$17</c:f>
                <c:numCache>
                  <c:formatCode>General</c:formatCode>
                  <c:ptCount val="4"/>
                  <c:pt idx="0">
                    <c:v>3.3455639602464622E-2</c:v>
                  </c:pt>
                  <c:pt idx="1">
                    <c:v>5.3712259468115565E-2</c:v>
                  </c:pt>
                  <c:pt idx="2">
                    <c:v>7.7581360739386956E-2</c:v>
                  </c:pt>
                  <c:pt idx="3">
                    <c:v>5.221320362040837E-2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'251007_Xtot'!$M$7:$P$7</c:f>
              <c:numCache>
                <c:formatCode>General</c:formatCode>
                <c:ptCount val="4"/>
                <c:pt idx="0">
                  <c:v>2</c:v>
                </c:pt>
                <c:pt idx="1">
                  <c:v>5.2</c:v>
                </c:pt>
                <c:pt idx="2">
                  <c:v>16</c:v>
                </c:pt>
                <c:pt idx="3">
                  <c:v>30</c:v>
                </c:pt>
              </c:numCache>
            </c:numRef>
          </c:xVal>
          <c:yVal>
            <c:numRef>
              <c:f>'251007_Xtot'!$M$10:$P$10</c:f>
              <c:numCache>
                <c:formatCode>General</c:formatCode>
                <c:ptCount val="4"/>
                <c:pt idx="0" formatCode="0.000000">
                  <c:v>0.31592971116686241</c:v>
                </c:pt>
                <c:pt idx="1">
                  <c:v>0.35306889816247272</c:v>
                </c:pt>
                <c:pt idx="2">
                  <c:v>0.47173998990035454</c:v>
                </c:pt>
                <c:pt idx="3">
                  <c:v>0.74675206633008806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A-47B6-93F1-1721985187F3}"/>
            </c:ext>
          </c:extLst>
        </c:ser>
        <c:ser>
          <c:idx val="3"/>
          <c:order val="3"/>
          <c:tx>
            <c:strRef>
              <c:f>'251007_Xtot'!$L$11</c:f>
              <c:strCache>
                <c:ptCount val="1"/>
                <c:pt idx="0">
                  <c:v>50%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'251007_Xtot'!$M$18:$P$18</c:f>
                <c:numCache>
                  <c:formatCode>General</c:formatCode>
                  <c:ptCount val="4"/>
                  <c:pt idx="0">
                    <c:v>5.2315202546268022E-2</c:v>
                  </c:pt>
                  <c:pt idx="1">
                    <c:v>3.511578441986251E-2</c:v>
                  </c:pt>
                  <c:pt idx="2">
                    <c:v>7.9621187326788009E-2</c:v>
                  </c:pt>
                  <c:pt idx="3">
                    <c:v>3.8452935141386903E-2</c:v>
                  </c:pt>
                </c:numCache>
              </c:numRef>
            </c:plus>
            <c:minus>
              <c:numRef>
                <c:f>'251007_Xtot'!$M$18:$P$18</c:f>
                <c:numCache>
                  <c:formatCode>General</c:formatCode>
                  <c:ptCount val="4"/>
                  <c:pt idx="0">
                    <c:v>5.2315202546268022E-2</c:v>
                  </c:pt>
                  <c:pt idx="1">
                    <c:v>3.511578441986251E-2</c:v>
                  </c:pt>
                  <c:pt idx="2">
                    <c:v>7.9621187326788009E-2</c:v>
                  </c:pt>
                  <c:pt idx="3">
                    <c:v>3.8452935141386903E-2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'251007_Xtot'!$M$7:$P$7</c:f>
              <c:numCache>
                <c:formatCode>General</c:formatCode>
                <c:ptCount val="4"/>
                <c:pt idx="0">
                  <c:v>2</c:v>
                </c:pt>
                <c:pt idx="1">
                  <c:v>5.2</c:v>
                </c:pt>
                <c:pt idx="2">
                  <c:v>16</c:v>
                </c:pt>
                <c:pt idx="3">
                  <c:v>30</c:v>
                </c:pt>
              </c:numCache>
            </c:numRef>
          </c:xVal>
          <c:yVal>
            <c:numRef>
              <c:f>'251007_Xtot'!$M$11:$P$11</c:f>
              <c:numCache>
                <c:formatCode>General</c:formatCode>
                <c:ptCount val="4"/>
                <c:pt idx="0" formatCode="0.000000">
                  <c:v>0.34305353537050604</c:v>
                </c:pt>
                <c:pt idx="1">
                  <c:v>0.29040260756311453</c:v>
                </c:pt>
                <c:pt idx="2">
                  <c:v>0.44721053173580588</c:v>
                </c:pt>
                <c:pt idx="3">
                  <c:v>0.57978635034844161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BA-47B6-93F1-17219851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3519"/>
        <c:axId val="562559839"/>
      </c:scatterChart>
      <c:valAx>
        <c:axId val="56254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i="1"/>
                  <a:t>s</a:t>
                </a:r>
                <a:r>
                  <a:rPr lang="en-US" altLang="ja-JP" baseline="0"/>
                  <a:t> (krpm)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559839"/>
        <c:crosses val="autoZero"/>
        <c:crossBetween val="midCat"/>
      </c:valAx>
      <c:valAx>
        <c:axId val="56255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i="1"/>
                  <a:t>xtot</a:t>
                </a:r>
                <a:endParaRPr lang="ja-JP" altLang="en-US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543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53937733612394"/>
          <c:y val="0.66729919380924485"/>
          <c:w val="0.59282640041069989"/>
          <c:h val="0.19582857570709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Host final conc vs Xtot_30</a:t>
            </a:r>
            <a:r>
              <a:rPr lang="en-US" altLang="ja-JP" baseline="0"/>
              <a:t> krpm</a:t>
            </a:r>
            <a:r>
              <a:rPr lang="en-US" altLang="ja-JP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013459211102071"/>
          <c:y val="0.18767627979757673"/>
          <c:w val="0.85159405962145829"/>
          <c:h val="0.62535336951191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'251007_Xtot'!$A$34</c:f>
              <c:strCache>
                <c:ptCount val="1"/>
                <c:pt idx="0">
                  <c:v>5 h, 30 krpm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</a:ln>
              <a:effectLst/>
            </c:spPr>
          </c:marker>
          <c:xVal>
            <c:numRef>
              <c:f>'251007_Xtot'!$B$35:$B$37</c:f>
              <c:numCache>
                <c:formatCode>General</c:formatCode>
                <c:ptCount val="3"/>
                <c:pt idx="0">
                  <c:v>0.30432462965304891</c:v>
                </c:pt>
                <c:pt idx="1">
                  <c:v>0.63531791860666764</c:v>
                </c:pt>
                <c:pt idx="2">
                  <c:v>2.1409722631437336</c:v>
                </c:pt>
              </c:numCache>
            </c:numRef>
          </c:xVal>
          <c:yVal>
            <c:numRef>
              <c:f>'251007_Xtot'!$C$35:$C$37</c:f>
              <c:numCache>
                <c:formatCode>General</c:formatCode>
                <c:ptCount val="3"/>
                <c:pt idx="0">
                  <c:v>0.65276362299220247</c:v>
                </c:pt>
                <c:pt idx="1">
                  <c:v>0.83315802845932363</c:v>
                </c:pt>
                <c:pt idx="2">
                  <c:v>0.75433454753873808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9-473A-89F0-E96A95DC1AA6}"/>
            </c:ext>
          </c:extLst>
        </c:ser>
        <c:ser>
          <c:idx val="1"/>
          <c:order val="1"/>
          <c:tx>
            <c:strRef>
              <c:f>'251007_Xtot'!$A$39</c:f>
              <c:strCache>
                <c:ptCount val="1"/>
                <c:pt idx="0">
                  <c:v>3 h, 2 krpm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'251007_Xtot'!$B$40:$B$43</c:f>
              <c:numCache>
                <c:formatCode>General</c:formatCode>
                <c:ptCount val="4"/>
                <c:pt idx="0">
                  <c:v>0.29980803647909626</c:v>
                </c:pt>
                <c:pt idx="1">
                  <c:v>0.59333460389453418</c:v>
                </c:pt>
                <c:pt idx="2">
                  <c:v>0.32243581003334254</c:v>
                </c:pt>
                <c:pt idx="3">
                  <c:v>0.59880305406897016</c:v>
                </c:pt>
              </c:numCache>
            </c:numRef>
          </c:xVal>
          <c:yVal>
            <c:numRef>
              <c:f>'251007_Xtot'!$C$40:$C$43</c:f>
              <c:numCache>
                <c:formatCode>General</c:formatCode>
                <c:ptCount val="4"/>
                <c:pt idx="0">
                  <c:v>0.51454934518955486</c:v>
                </c:pt>
                <c:pt idx="1">
                  <c:v>0.28556644559523253</c:v>
                </c:pt>
                <c:pt idx="2">
                  <c:v>0.40424018956898555</c:v>
                </c:pt>
                <c:pt idx="3">
                  <c:v>0.39824875526110576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9-473A-89F0-E96A95DC1AA6}"/>
            </c:ext>
          </c:extLst>
        </c:ser>
        <c:ser>
          <c:idx val="2"/>
          <c:order val="2"/>
          <c:tx>
            <c:strRef>
              <c:f>'251007_Xtot'!$A$45</c:f>
              <c:strCache>
                <c:ptCount val="1"/>
                <c:pt idx="0">
                  <c:v>3 h, 5.2 krpm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</a:ln>
              <a:effectLst/>
            </c:spPr>
          </c:marker>
          <c:xVal>
            <c:numRef>
              <c:f>'251007_Xtot'!$B$46:$B$48</c:f>
              <c:numCache>
                <c:formatCode>General</c:formatCode>
                <c:ptCount val="3"/>
                <c:pt idx="0">
                  <c:v>1.8755796856994309</c:v>
                </c:pt>
                <c:pt idx="1">
                  <c:v>0.48183422467874226</c:v>
                </c:pt>
                <c:pt idx="2">
                  <c:v>1.0728683664602827</c:v>
                </c:pt>
              </c:numCache>
            </c:numRef>
          </c:xVal>
          <c:yVal>
            <c:numRef>
              <c:f>'251007_Xtot'!$C$46:$C$48</c:f>
              <c:numCache>
                <c:formatCode>General</c:formatCode>
                <c:ptCount val="3"/>
                <c:pt idx="0">
                  <c:v>0.35590173144500037</c:v>
                </c:pt>
                <c:pt idx="1">
                  <c:v>0.45071711775061141</c:v>
                </c:pt>
                <c:pt idx="2">
                  <c:v>0.4555646319150648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A9-473A-89F0-E96A95DC1AA6}"/>
            </c:ext>
          </c:extLst>
        </c:ser>
        <c:ser>
          <c:idx val="3"/>
          <c:order val="3"/>
          <c:tx>
            <c:strRef>
              <c:f>'251007_Xtot'!$A$28</c:f>
              <c:strCache>
                <c:ptCount val="1"/>
                <c:pt idx="0">
                  <c:v>3 h, 16 krpm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'251007_Xtot'!$B$29:$B$32</c:f>
              <c:numCache>
                <c:formatCode>General</c:formatCode>
                <c:ptCount val="4"/>
                <c:pt idx="0">
                  <c:v>0.55564032606467162</c:v>
                </c:pt>
                <c:pt idx="1">
                  <c:v>4.8102725024440556</c:v>
                </c:pt>
                <c:pt idx="2">
                  <c:v>0.88385413886491804</c:v>
                </c:pt>
                <c:pt idx="3">
                  <c:v>3.3905110950888804</c:v>
                </c:pt>
              </c:numCache>
            </c:numRef>
          </c:xVal>
          <c:yVal>
            <c:numRef>
              <c:f>'251007_Xtot'!$C$29:$C$32</c:f>
              <c:numCache>
                <c:formatCode>General</c:formatCode>
                <c:ptCount val="4"/>
                <c:pt idx="0">
                  <c:v>0.61200117449257618</c:v>
                </c:pt>
                <c:pt idx="1">
                  <c:v>0.4647468001929087</c:v>
                </c:pt>
                <c:pt idx="2">
                  <c:v>0.6001382434002549</c:v>
                </c:pt>
                <c:pt idx="3">
                  <c:v>0.65420107234988567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A9-473A-89F0-E96A95DC1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3519"/>
        <c:axId val="562559839"/>
      </c:scatterChart>
      <c:valAx>
        <c:axId val="56254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Host</a:t>
                </a:r>
                <a:r>
                  <a:rPr lang="en-US" altLang="ja-JP" baseline="0"/>
                  <a:t> final conc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559839"/>
        <c:crosses val="autoZero"/>
        <c:crossBetween val="midCat"/>
      </c:valAx>
      <c:valAx>
        <c:axId val="56255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i="1"/>
                  <a:t>xtot</a:t>
                </a:r>
                <a:endParaRPr lang="ja-JP" altLang="en-US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543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036388906361756"/>
          <c:y val="0.57307030320008057"/>
          <c:w val="0.57264751181780615"/>
          <c:h val="0.225305675343343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77550</xdr:colOff>
      <xdr:row>5</xdr:row>
      <xdr:rowOff>21896</xdr:rowOff>
    </xdr:from>
    <xdr:to>
      <xdr:col>27</xdr:col>
      <xdr:colOff>557569</xdr:colOff>
      <xdr:row>22</xdr:row>
      <xdr:rowOff>26941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93DDB8F-938E-4EFB-BA6D-5E2027883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28</xdr:row>
      <xdr:rowOff>54428</xdr:rowOff>
    </xdr:from>
    <xdr:to>
      <xdr:col>9</xdr:col>
      <xdr:colOff>545265</xdr:colOff>
      <xdr:row>42</xdr:row>
      <xdr:rowOff>2953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9BFCB30-A6EF-4A39-807C-C4B0444EA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0.23847</cdr:x>
      <cdr:y>0.02549</cdr:y>
    </cdr:from>
    <cdr:to>
      <cdr:x>0.74683</cdr:x>
      <cdr:y>0.28215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E36003A-9DDC-F35D-66A4-DD60A9638C82}"/>
            </a:ext>
          </a:extLst>
        </cdr:cNvPr>
        <cdr:cNvSpPr txBox="1"/>
      </cdr:nvSpPr>
      <cdr:spPr>
        <a:xfrm xmlns:a="http://schemas.openxmlformats.org/drawingml/2006/main">
          <a:off x="1441848" y="91833"/>
          <a:ext cx="3073707" cy="9248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600" kern="1200">
              <a:solidFill>
                <a:schemeClr val="tx1">
                  <a:lumMod val="85000"/>
                  <a:lumOff val="15000"/>
                </a:schemeClr>
              </a:solidFill>
            </a:rPr>
            <a:t>error</a:t>
          </a:r>
          <a:r>
            <a:rPr lang="en-US" altLang="ja-JP" sz="1600" kern="1200" baseline="0">
              <a:solidFill>
                <a:schemeClr val="tx1">
                  <a:lumMod val="85000"/>
                  <a:lumOff val="15000"/>
                </a:schemeClr>
              </a:solidFill>
            </a:rPr>
            <a:t> bar: se</a:t>
          </a:r>
        </a:p>
        <a:p xmlns:a="http://schemas.openxmlformats.org/drawingml/2006/main">
          <a:r>
            <a:rPr lang="en-US" altLang="ja-JP" sz="1600" kern="1200" baseline="0">
              <a:solidFill>
                <a:schemeClr val="tx1">
                  <a:lumMod val="85000"/>
                  <a:lumOff val="15000"/>
                </a:schemeClr>
              </a:solidFill>
            </a:rPr>
            <a:t>n = 4 (2, 16 krpm, 4, 20 %)</a:t>
          </a:r>
        </a:p>
        <a:p xmlns:a="http://schemas.openxmlformats.org/drawingml/2006/main">
          <a:r>
            <a:rPr lang="en-US" altLang="ja-JP" sz="1600" kern="1200" baseline="0">
              <a:solidFill>
                <a:schemeClr val="tx1">
                  <a:lumMod val="85000"/>
                  <a:lumOff val="15000"/>
                </a:schemeClr>
              </a:solidFill>
            </a:rPr>
            <a:t>n = 3 (other than above)</a:t>
          </a:r>
          <a:endParaRPr lang="ja-JP" altLang="en-US" sz="1600" kern="1200">
            <a:solidFill>
              <a:schemeClr val="tx1">
                <a:lumMod val="85000"/>
                <a:lumOff val="1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水内研2">
    <a:dk1>
      <a:srgbClr val="3C3C3C"/>
    </a:dk1>
    <a:lt1>
      <a:sysClr val="window" lastClr="FFFFFF"/>
    </a:lt1>
    <a:dk2>
      <a:srgbClr val="5A5A5A"/>
    </a:dk2>
    <a:lt2>
      <a:srgbClr val="E7E6E6"/>
    </a:lt2>
    <a:accent1>
      <a:srgbClr val="1F91BE"/>
    </a:accent1>
    <a:accent2>
      <a:srgbClr val="E06A3B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水内研2">
    <a:dk1>
      <a:srgbClr val="3C3C3C"/>
    </a:dk1>
    <a:lt1>
      <a:sysClr val="window" lastClr="FFFFFF"/>
    </a:lt1>
    <a:dk2>
      <a:srgbClr val="5A5A5A"/>
    </a:dk2>
    <a:lt2>
      <a:srgbClr val="E7E6E6"/>
    </a:lt2>
    <a:accent1>
      <a:srgbClr val="1F91BE"/>
    </a:accent1>
    <a:accent2>
      <a:srgbClr val="E06A3B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3DCB-386C-4042-88A3-D485117C5CB8}">
  <sheetPr>
    <pageSetUpPr fitToPage="1"/>
  </sheetPr>
  <dimension ref="A1:AN60"/>
  <sheetViews>
    <sheetView tabSelected="1" zoomScale="62" zoomScaleNormal="25" workbookViewId="0">
      <selection activeCell="K28" sqref="K28"/>
    </sheetView>
  </sheetViews>
  <sheetFormatPr defaultColWidth="8.83203125" defaultRowHeight="16.5"/>
  <cols>
    <col min="1" max="1" width="11.08203125" style="1" customWidth="1"/>
    <col min="2" max="2" width="25.9140625" style="1" customWidth="1"/>
    <col min="3" max="3" width="11.75" style="1" customWidth="1"/>
    <col min="4" max="7" width="8.83203125" style="1"/>
    <col min="8" max="8" width="24.9140625" style="1" customWidth="1"/>
    <col min="9" max="9" width="19.25" style="1" customWidth="1"/>
    <col min="10" max="10" width="8.83203125" style="1" customWidth="1"/>
    <col min="11" max="14" width="9.1640625" style="1" customWidth="1"/>
    <col min="15" max="15" width="10.5" style="1" customWidth="1"/>
    <col min="16" max="34" width="9.1640625" style="1" customWidth="1"/>
    <col min="35" max="35" width="23.1640625" style="1" customWidth="1"/>
    <col min="36" max="36" width="9.1640625" style="1" customWidth="1"/>
    <col min="37" max="37" width="30.83203125" style="1" customWidth="1"/>
    <col min="38" max="38" width="14.5" style="1" customWidth="1"/>
    <col min="39" max="39" width="10.58203125" style="1" customWidth="1"/>
    <col min="40" max="40" width="8.83203125" style="1"/>
    <col min="41" max="41" width="8.9140625" style="1" bestFit="1" customWidth="1"/>
    <col min="42" max="16384" width="8.83203125" style="1"/>
  </cols>
  <sheetData>
    <row r="1" spans="1:20">
      <c r="A1" s="8" t="s">
        <v>18</v>
      </c>
    </row>
    <row r="3" spans="1:20">
      <c r="A3" s="34" t="s">
        <v>20</v>
      </c>
      <c r="B3" s="35"/>
      <c r="C3" s="35"/>
    </row>
    <row r="4" spans="1:20">
      <c r="A4" s="20"/>
      <c r="B4" s="5"/>
      <c r="C4" s="5"/>
      <c r="D4" s="21" t="s">
        <v>34</v>
      </c>
      <c r="G4" s="23"/>
      <c r="I4" s="23"/>
    </row>
    <row r="5" spans="1:20">
      <c r="D5" s="21" t="s">
        <v>23</v>
      </c>
      <c r="G5" s="23"/>
      <c r="H5" s="5" t="s">
        <v>31</v>
      </c>
      <c r="I5" s="28" t="s">
        <v>32</v>
      </c>
      <c r="K5" s="36" t="s">
        <v>35</v>
      </c>
      <c r="L5" s="35"/>
      <c r="M5" s="37"/>
      <c r="N5" s="38"/>
      <c r="P5" s="4"/>
      <c r="T5" s="36" t="s">
        <v>33</v>
      </c>
    </row>
    <row r="6" spans="1:20">
      <c r="A6" s="11" t="s">
        <v>21</v>
      </c>
      <c r="B6" s="11" t="s">
        <v>19</v>
      </c>
      <c r="C6" s="11" t="s">
        <v>22</v>
      </c>
      <c r="D6" s="22" t="s">
        <v>24</v>
      </c>
      <c r="E6" s="11" t="s">
        <v>25</v>
      </c>
      <c r="F6" s="11" t="s">
        <v>26</v>
      </c>
      <c r="G6" s="24" t="s">
        <v>27</v>
      </c>
      <c r="H6" s="9"/>
      <c r="I6" s="27"/>
      <c r="L6" s="23"/>
      <c r="M6" s="8" t="s">
        <v>37</v>
      </c>
    </row>
    <row r="7" spans="1:20">
      <c r="A7" s="2" t="s">
        <v>6</v>
      </c>
      <c r="B7" s="2">
        <v>2</v>
      </c>
      <c r="C7" s="12">
        <v>0.5</v>
      </c>
      <c r="D7" s="25">
        <v>0.23852579129744039</v>
      </c>
      <c r="E7" s="1">
        <v>0.39933042268459618</v>
      </c>
      <c r="F7" s="1">
        <v>0.39130439212948159</v>
      </c>
      <c r="G7" s="23" t="s">
        <v>8</v>
      </c>
      <c r="H7" s="13">
        <f t="shared" ref="H7:H12" si="0">AVERAGE(D7:F7)</f>
        <v>0.34305353537050604</v>
      </c>
      <c r="I7" s="23">
        <f t="shared" ref="I7:I12" si="1">STDEV(D7,E7,F7)/SQRT(3)</f>
        <v>5.2315202546268022E-2</v>
      </c>
      <c r="K7" s="6"/>
      <c r="L7" s="31" t="s">
        <v>36</v>
      </c>
      <c r="M7" s="10">
        <v>2</v>
      </c>
      <c r="N7" s="10">
        <v>5.2</v>
      </c>
      <c r="O7" s="10">
        <v>16</v>
      </c>
      <c r="P7" s="10">
        <v>30</v>
      </c>
    </row>
    <row r="8" spans="1:20">
      <c r="A8" s="2" t="s">
        <v>5</v>
      </c>
      <c r="B8" s="2">
        <v>5.2</v>
      </c>
      <c r="C8" s="12">
        <v>0.5</v>
      </c>
      <c r="D8" s="25">
        <v>0.25194410363561875</v>
      </c>
      <c r="E8" s="1">
        <v>0.3605245166888823</v>
      </c>
      <c r="F8" s="1">
        <v>0.25873920236484244</v>
      </c>
      <c r="G8" s="23" t="s">
        <v>8</v>
      </c>
      <c r="H8" s="13">
        <f>AVERAGE(D8:F8)</f>
        <v>0.29040260756311453</v>
      </c>
      <c r="I8" s="23">
        <f t="shared" si="1"/>
        <v>3.511578441986251E-2</v>
      </c>
      <c r="K8" s="6" t="s">
        <v>20</v>
      </c>
      <c r="L8" s="32">
        <v>0.01</v>
      </c>
      <c r="M8" s="14">
        <f>H10</f>
        <v>0.4215126830954028</v>
      </c>
      <c r="N8" s="14">
        <f>H11</f>
        <v>0.36343719328574159</v>
      </c>
      <c r="O8" s="7">
        <f>H12</f>
        <v>0.56572171741560773</v>
      </c>
      <c r="P8" s="15">
        <f>H19</f>
        <v>0.80669368133297292</v>
      </c>
    </row>
    <row r="9" spans="1:20">
      <c r="A9" s="11" t="s">
        <v>4</v>
      </c>
      <c r="B9" s="11">
        <v>16</v>
      </c>
      <c r="C9" s="17">
        <v>0.5</v>
      </c>
      <c r="D9" s="26">
        <v>0.39800158134495123</v>
      </c>
      <c r="E9" s="9">
        <v>0.60297315503898574</v>
      </c>
      <c r="F9" s="9">
        <v>0.34065685882348073</v>
      </c>
      <c r="G9" s="27" t="s">
        <v>8</v>
      </c>
      <c r="H9" s="18">
        <f t="shared" si="0"/>
        <v>0.44721053173580588</v>
      </c>
      <c r="I9" s="27">
        <f t="shared" si="1"/>
        <v>7.9621187326788009E-2</v>
      </c>
      <c r="K9" s="2"/>
      <c r="L9" s="32">
        <v>0.04</v>
      </c>
      <c r="M9" s="16">
        <f>H16</f>
        <v>0.34188442237128802</v>
      </c>
      <c r="N9" s="2">
        <f>H17</f>
        <v>0.41198835272336692</v>
      </c>
      <c r="O9" s="1">
        <f>H18</f>
        <v>0.58103424992835162</v>
      </c>
      <c r="P9" s="1">
        <f>H20</f>
        <v>0.82315146252082361</v>
      </c>
    </row>
    <row r="10" spans="1:20">
      <c r="A10" s="2" t="s">
        <v>3</v>
      </c>
      <c r="B10" s="2">
        <v>2</v>
      </c>
      <c r="C10" s="12">
        <v>0.01</v>
      </c>
      <c r="D10" s="25">
        <v>0.39442721838007916</v>
      </c>
      <c r="E10" s="1">
        <v>0.61532479806733886</v>
      </c>
      <c r="F10" s="1">
        <v>0.25478603283879037</v>
      </c>
      <c r="G10" s="23" t="s">
        <v>8</v>
      </c>
      <c r="H10" s="13">
        <f t="shared" si="0"/>
        <v>0.4215126830954028</v>
      </c>
      <c r="I10" s="23">
        <f t="shared" si="1"/>
        <v>0.10495597030384593</v>
      </c>
      <c r="K10" s="2"/>
      <c r="L10" s="32">
        <v>0.2</v>
      </c>
      <c r="M10" s="16">
        <f>H13</f>
        <v>0.31592971116686241</v>
      </c>
      <c r="N10" s="2">
        <f>H14</f>
        <v>0.35306889816247272</v>
      </c>
      <c r="O10" s="1">
        <f>H15</f>
        <v>0.47173998990035454</v>
      </c>
      <c r="P10" s="1">
        <f>H21</f>
        <v>0.74675206633008806</v>
      </c>
    </row>
    <row r="11" spans="1:20">
      <c r="A11" s="2" t="s">
        <v>2</v>
      </c>
      <c r="B11" s="2">
        <v>5.2</v>
      </c>
      <c r="C11" s="12">
        <v>0.01</v>
      </c>
      <c r="D11" s="25">
        <v>0.32688609497299348</v>
      </c>
      <c r="E11" s="1">
        <v>0.49949309570924616</v>
      </c>
      <c r="F11" s="1">
        <v>0.26393238917498513</v>
      </c>
      <c r="G11" s="23" t="s">
        <v>8</v>
      </c>
      <c r="H11" s="13">
        <f t="shared" si="0"/>
        <v>0.36343719328574159</v>
      </c>
      <c r="I11" s="23">
        <f t="shared" si="1"/>
        <v>7.0413537303161702E-2</v>
      </c>
      <c r="K11" s="2"/>
      <c r="L11" s="32">
        <v>0.5</v>
      </c>
      <c r="M11" s="14">
        <f>H7</f>
        <v>0.34305353537050604</v>
      </c>
      <c r="N11" s="7">
        <f>H8</f>
        <v>0.29040260756311453</v>
      </c>
      <c r="O11" s="7">
        <f>H9</f>
        <v>0.44721053173580588</v>
      </c>
      <c r="P11" s="1">
        <f>H22</f>
        <v>0.57978635034844161</v>
      </c>
    </row>
    <row r="12" spans="1:20">
      <c r="A12" s="11" t="s">
        <v>1</v>
      </c>
      <c r="B12" s="11">
        <v>16</v>
      </c>
      <c r="C12" s="17">
        <v>0.01</v>
      </c>
      <c r="D12" s="26">
        <v>0.54143955782513442</v>
      </c>
      <c r="E12" s="9">
        <v>0.72585114712537158</v>
      </c>
      <c r="F12" s="9">
        <v>0.42987444729631713</v>
      </c>
      <c r="G12" s="27" t="s">
        <v>8</v>
      </c>
      <c r="H12" s="18">
        <f t="shared" si="0"/>
        <v>0.56572171741560773</v>
      </c>
      <c r="I12" s="27">
        <f t="shared" si="1"/>
        <v>8.6299419013508669E-2</v>
      </c>
      <c r="K12" s="2"/>
      <c r="L12" s="2"/>
    </row>
    <row r="13" spans="1:20">
      <c r="A13" s="2" t="s">
        <v>7</v>
      </c>
      <c r="B13" s="2">
        <v>2</v>
      </c>
      <c r="C13" s="12">
        <v>0.2</v>
      </c>
      <c r="D13" s="25">
        <v>0.23438041991228001</v>
      </c>
      <c r="E13" s="1">
        <v>0.36262792414431178</v>
      </c>
      <c r="F13" s="1">
        <v>0.28867276477379933</v>
      </c>
      <c r="G13" s="23">
        <v>0.37803773583705852</v>
      </c>
      <c r="H13" s="13">
        <f>AVERAGE(D13:G13)</f>
        <v>0.31592971116686241</v>
      </c>
      <c r="I13" s="23">
        <f>STDEV(D13:G13)/SQRT(4)</f>
        <v>3.3455639602464622E-2</v>
      </c>
      <c r="K13" s="2"/>
      <c r="L13" s="23"/>
      <c r="M13" s="8" t="s">
        <v>37</v>
      </c>
      <c r="N13" s="2"/>
    </row>
    <row r="14" spans="1:20">
      <c r="A14" s="2" t="s">
        <v>9</v>
      </c>
      <c r="B14" s="2">
        <v>5.2</v>
      </c>
      <c r="C14" s="12">
        <v>0.2</v>
      </c>
      <c r="D14" s="25">
        <v>0.37925074463870051</v>
      </c>
      <c r="E14" s="1">
        <v>0.43020493119482101</v>
      </c>
      <c r="F14" s="1">
        <v>0.24975101865389668</v>
      </c>
      <c r="G14" s="23" t="s">
        <v>8</v>
      </c>
      <c r="H14" s="13">
        <f>AVERAGE(D14:F14)</f>
        <v>0.35306889816247272</v>
      </c>
      <c r="I14" s="23">
        <f>STDEV(D14,E14,F14)/SQRT(3)</f>
        <v>5.3712259468115565E-2</v>
      </c>
      <c r="K14" s="2"/>
      <c r="L14" s="31" t="s">
        <v>36</v>
      </c>
      <c r="M14" s="10">
        <v>2</v>
      </c>
      <c r="N14" s="10">
        <v>5.2</v>
      </c>
      <c r="O14" s="10">
        <v>16</v>
      </c>
      <c r="P14" s="10">
        <v>30</v>
      </c>
      <c r="Q14" s="29" t="s">
        <v>28</v>
      </c>
    </row>
    <row r="15" spans="1:20">
      <c r="A15" s="11" t="s">
        <v>10</v>
      </c>
      <c r="B15" s="11">
        <v>16</v>
      </c>
      <c r="C15" s="17">
        <v>0.2</v>
      </c>
      <c r="D15" s="26">
        <v>0.28993595502539682</v>
      </c>
      <c r="E15" s="9">
        <v>0.66626147467332641</v>
      </c>
      <c r="F15" s="9">
        <v>0.44033901556108518</v>
      </c>
      <c r="G15" s="27">
        <v>0.49042351434160975</v>
      </c>
      <c r="H15" s="18">
        <f>AVERAGE(D15:G15)</f>
        <v>0.47173998990035454</v>
      </c>
      <c r="I15" s="27">
        <f>STDEV(D15:G15)/SQRT(4)</f>
        <v>7.7581360739386956E-2</v>
      </c>
      <c r="K15" s="6" t="s">
        <v>0</v>
      </c>
      <c r="L15" s="32">
        <v>0.01</v>
      </c>
      <c r="M15" s="19">
        <f>I10</f>
        <v>0.10495597030384593</v>
      </c>
      <c r="N15" s="19">
        <f>I11</f>
        <v>7.0413537303161702E-2</v>
      </c>
      <c r="O15" s="19">
        <f>I12</f>
        <v>8.6299419013508669E-2</v>
      </c>
      <c r="P15" s="1">
        <f>I19</f>
        <v>7.6238865346452772E-2</v>
      </c>
      <c r="Q15" s="30" t="s">
        <v>29</v>
      </c>
    </row>
    <row r="16" spans="1:20">
      <c r="A16" s="2" t="s">
        <v>11</v>
      </c>
      <c r="B16" s="2">
        <v>2</v>
      </c>
      <c r="C16" s="12">
        <v>0.04</v>
      </c>
      <c r="D16" s="25">
        <v>0.3681750065626524</v>
      </c>
      <c r="E16" s="1">
        <v>0.37740094261242074</v>
      </c>
      <c r="F16" s="1">
        <v>0.28007731793879093</v>
      </c>
      <c r="G16" s="23" t="s">
        <v>8</v>
      </c>
      <c r="H16" s="13">
        <f t="shared" ref="H16:H22" si="2">AVERAGE(D16:F16)</f>
        <v>0.34188442237128802</v>
      </c>
      <c r="I16" s="23">
        <f t="shared" ref="I16:I22" si="3">STDEV(D16,E16,F16)/SQRT(3)</f>
        <v>3.1018102739882848E-2</v>
      </c>
      <c r="K16" s="2"/>
      <c r="L16" s="32">
        <v>0.04</v>
      </c>
      <c r="M16" s="19">
        <f>I16</f>
        <v>3.1018102739882848E-2</v>
      </c>
      <c r="N16" s="19">
        <f>I17</f>
        <v>8.6120050562793385E-2</v>
      </c>
      <c r="O16" s="19">
        <f>I18</f>
        <v>8.3362680924160021E-2</v>
      </c>
      <c r="P16" s="1">
        <f>I20</f>
        <v>3.8956403561912288E-2</v>
      </c>
      <c r="Q16" s="30" t="s">
        <v>30</v>
      </c>
    </row>
    <row r="17" spans="1:17">
      <c r="A17" s="2" t="s">
        <v>12</v>
      </c>
      <c r="B17" s="2">
        <v>5.2</v>
      </c>
      <c r="C17" s="12">
        <v>0.04</v>
      </c>
      <c r="D17" s="25">
        <v>0.34171726584308232</v>
      </c>
      <c r="E17" s="1">
        <v>0.58330932155224879</v>
      </c>
      <c r="F17" s="1">
        <v>0.31093847077476949</v>
      </c>
      <c r="G17" s="23" t="s">
        <v>8</v>
      </c>
      <c r="H17" s="13">
        <f t="shared" si="2"/>
        <v>0.41198835272336692</v>
      </c>
      <c r="I17" s="23">
        <f t="shared" si="3"/>
        <v>8.6120050562793385E-2</v>
      </c>
      <c r="K17" s="2"/>
      <c r="L17" s="32">
        <v>0.2</v>
      </c>
      <c r="M17" s="19">
        <f>I13</f>
        <v>3.3455639602464622E-2</v>
      </c>
      <c r="N17" s="19">
        <f>I14</f>
        <v>5.3712259468115565E-2</v>
      </c>
      <c r="O17" s="19">
        <f>I15</f>
        <v>7.7581360739386956E-2</v>
      </c>
      <c r="P17" s="1">
        <f>I21</f>
        <v>5.221320362040837E-2</v>
      </c>
      <c r="Q17" s="30" t="s">
        <v>30</v>
      </c>
    </row>
    <row r="18" spans="1:17">
      <c r="A18" s="11" t="s">
        <v>13</v>
      </c>
      <c r="B18" s="11">
        <v>16</v>
      </c>
      <c r="C18" s="17">
        <v>0.04</v>
      </c>
      <c r="D18" s="26">
        <v>0.74383548314740555</v>
      </c>
      <c r="E18" s="9">
        <v>0.53077570388833606</v>
      </c>
      <c r="F18" s="9">
        <v>0.46849156274931314</v>
      </c>
      <c r="G18" s="27" t="s">
        <v>8</v>
      </c>
      <c r="H18" s="18">
        <f t="shared" si="2"/>
        <v>0.58103424992835162</v>
      </c>
      <c r="I18" s="27">
        <f t="shared" si="3"/>
        <v>8.3362680924160021E-2</v>
      </c>
      <c r="K18" s="2"/>
      <c r="L18" s="32">
        <v>0.5</v>
      </c>
      <c r="M18" s="19">
        <f>I7</f>
        <v>5.2315202546268022E-2</v>
      </c>
      <c r="N18" s="19">
        <f>I8</f>
        <v>3.511578441986251E-2</v>
      </c>
      <c r="O18" s="19">
        <f>I9</f>
        <v>7.9621187326788009E-2</v>
      </c>
      <c r="P18" s="1">
        <f>I22</f>
        <v>3.8452935141386903E-2</v>
      </c>
      <c r="Q18" s="30" t="s">
        <v>29</v>
      </c>
    </row>
    <row r="19" spans="1:17">
      <c r="A19" s="2" t="s">
        <v>14</v>
      </c>
      <c r="B19" s="2">
        <v>30</v>
      </c>
      <c r="C19" s="12">
        <v>0.01</v>
      </c>
      <c r="D19" s="25">
        <v>0.65622502877680977</v>
      </c>
      <c r="E19" s="1">
        <v>0.90329345205747924</v>
      </c>
      <c r="F19" s="1">
        <v>0.86056256316462976</v>
      </c>
      <c r="G19" s="23" t="s">
        <v>8</v>
      </c>
      <c r="H19" s="13">
        <f t="shared" si="2"/>
        <v>0.80669368133297292</v>
      </c>
      <c r="I19" s="23">
        <f t="shared" si="3"/>
        <v>7.6238865346452772E-2</v>
      </c>
    </row>
    <row r="20" spans="1:17">
      <c r="A20" s="2" t="s">
        <v>15</v>
      </c>
      <c r="B20" s="2">
        <v>30</v>
      </c>
      <c r="C20" s="12">
        <v>0.04</v>
      </c>
      <c r="D20" s="25">
        <v>0.7682682579547202</v>
      </c>
      <c r="E20" s="1">
        <v>0.89848543922665947</v>
      </c>
      <c r="F20" s="1">
        <v>0.80270069038109104</v>
      </c>
      <c r="G20" s="23" t="s">
        <v>8</v>
      </c>
      <c r="H20" s="13">
        <f t="shared" si="2"/>
        <v>0.82315146252082361</v>
      </c>
      <c r="I20" s="23">
        <f t="shared" si="3"/>
        <v>3.8956403561912288E-2</v>
      </c>
    </row>
    <row r="21" spans="1:17">
      <c r="A21" s="2" t="s">
        <v>16</v>
      </c>
      <c r="B21" s="2">
        <v>30</v>
      </c>
      <c r="C21" s="12">
        <v>0.2</v>
      </c>
      <c r="D21" s="25">
        <v>0.65276362299220247</v>
      </c>
      <c r="E21" s="1">
        <v>0.83315802845932363</v>
      </c>
      <c r="F21" s="1">
        <v>0.75433454753873808</v>
      </c>
      <c r="G21" s="23" t="s">
        <v>8</v>
      </c>
      <c r="H21" s="13">
        <f t="shared" si="2"/>
        <v>0.74675206633008806</v>
      </c>
      <c r="I21" s="23">
        <f t="shared" si="3"/>
        <v>5.221320362040837E-2</v>
      </c>
    </row>
    <row r="22" spans="1:17">
      <c r="A22" s="2" t="s">
        <v>17</v>
      </c>
      <c r="B22" s="2">
        <v>30</v>
      </c>
      <c r="C22" s="12">
        <v>0.5</v>
      </c>
      <c r="D22" s="25">
        <v>0.54244025373097415</v>
      </c>
      <c r="E22" s="1">
        <v>0.54023709654241692</v>
      </c>
      <c r="F22" s="1">
        <v>0.65668170077193389</v>
      </c>
      <c r="G22" s="23" t="s">
        <v>8</v>
      </c>
      <c r="H22" s="13">
        <f t="shared" si="2"/>
        <v>0.57978635034844161</v>
      </c>
      <c r="I22" s="23">
        <f t="shared" si="3"/>
        <v>3.8452935141386903E-2</v>
      </c>
    </row>
    <row r="23" spans="1:17">
      <c r="D23" s="2"/>
      <c r="E23" s="2"/>
      <c r="G23" s="2"/>
    </row>
    <row r="24" spans="1:17">
      <c r="D24" s="2"/>
      <c r="E24" s="2"/>
      <c r="G24" s="2"/>
    </row>
    <row r="27" spans="1:17">
      <c r="A27" s="33" t="s">
        <v>43</v>
      </c>
      <c r="B27" s="33"/>
      <c r="C27" s="33"/>
    </row>
    <row r="28" spans="1:17">
      <c r="A28" s="8" t="s">
        <v>38</v>
      </c>
      <c r="B28" s="1" t="s">
        <v>44</v>
      </c>
      <c r="C28" s="1" t="s">
        <v>20</v>
      </c>
    </row>
    <row r="29" spans="1:17">
      <c r="A29" s="2" t="s">
        <v>24</v>
      </c>
      <c r="B29" s="1">
        <v>0.55564032606467162</v>
      </c>
      <c r="C29" s="1">
        <v>0.61200117449257618</v>
      </c>
    </row>
    <row r="30" spans="1:17">
      <c r="A30" s="2" t="s">
        <v>25</v>
      </c>
      <c r="B30" s="1">
        <v>4.8102725024440556</v>
      </c>
      <c r="C30" s="1">
        <v>0.4647468001929087</v>
      </c>
    </row>
    <row r="31" spans="1:17">
      <c r="A31" s="2" t="s">
        <v>26</v>
      </c>
      <c r="B31" s="1">
        <v>0.88385413886491804</v>
      </c>
      <c r="C31" s="1">
        <v>0.6001382434002549</v>
      </c>
    </row>
    <row r="32" spans="1:17">
      <c r="A32" s="2" t="s">
        <v>27</v>
      </c>
      <c r="B32" s="1">
        <v>3.3905110950888804</v>
      </c>
      <c r="C32" s="1">
        <v>0.65420107234988567</v>
      </c>
    </row>
    <row r="34" spans="1:3">
      <c r="A34" s="8" t="s">
        <v>40</v>
      </c>
      <c r="B34" s="1" t="s">
        <v>44</v>
      </c>
      <c r="C34" s="1" t="s">
        <v>39</v>
      </c>
    </row>
    <row r="35" spans="1:3">
      <c r="A35" s="2" t="s">
        <v>24</v>
      </c>
      <c r="B35" s="1">
        <v>0.30432462965304891</v>
      </c>
      <c r="C35" s="1">
        <v>0.65276362299220247</v>
      </c>
    </row>
    <row r="36" spans="1:3">
      <c r="A36" s="2" t="s">
        <v>25</v>
      </c>
      <c r="B36" s="1">
        <v>0.63531791860666764</v>
      </c>
      <c r="C36" s="1">
        <v>0.83315802845932363</v>
      </c>
    </row>
    <row r="37" spans="1:3">
      <c r="A37" s="2" t="s">
        <v>26</v>
      </c>
      <c r="B37" s="1">
        <v>2.1409722631437336</v>
      </c>
      <c r="C37" s="1">
        <v>0.75433454753873808</v>
      </c>
    </row>
    <row r="38" spans="1:3">
      <c r="A38" s="2"/>
    </row>
    <row r="39" spans="1:3">
      <c r="A39" s="8" t="s">
        <v>41</v>
      </c>
      <c r="B39" s="1" t="s">
        <v>44</v>
      </c>
      <c r="C39" s="1" t="s">
        <v>39</v>
      </c>
    </row>
    <row r="40" spans="1:3">
      <c r="A40" s="2" t="s">
        <v>24</v>
      </c>
      <c r="B40" s="1">
        <v>0.29980803647909626</v>
      </c>
      <c r="C40" s="1">
        <v>0.51454934518955486</v>
      </c>
    </row>
    <row r="41" spans="1:3">
      <c r="A41" s="2" t="s">
        <v>25</v>
      </c>
      <c r="B41" s="1">
        <v>0.59333460389453418</v>
      </c>
      <c r="C41" s="1">
        <v>0.28556644559523253</v>
      </c>
    </row>
    <row r="42" spans="1:3">
      <c r="A42" s="2" t="s">
        <v>26</v>
      </c>
      <c r="B42" s="1">
        <v>0.32243581003334254</v>
      </c>
      <c r="C42" s="1">
        <v>0.40424018956898555</v>
      </c>
    </row>
    <row r="43" spans="1:3">
      <c r="A43" s="2" t="s">
        <v>27</v>
      </c>
      <c r="B43" s="1">
        <v>0.59880305406897016</v>
      </c>
      <c r="C43" s="1">
        <v>0.39824875526110576</v>
      </c>
    </row>
    <row r="45" spans="1:3">
      <c r="A45" s="8" t="s">
        <v>42</v>
      </c>
      <c r="B45" s="1" t="s">
        <v>44</v>
      </c>
      <c r="C45" s="1" t="s">
        <v>39</v>
      </c>
    </row>
    <row r="46" spans="1:3">
      <c r="A46" s="2" t="s">
        <v>24</v>
      </c>
      <c r="B46" s="1">
        <v>1.8755796856994309</v>
      </c>
      <c r="C46" s="1">
        <v>0.35590173144500037</v>
      </c>
    </row>
    <row r="47" spans="1:3">
      <c r="A47" s="2" t="s">
        <v>25</v>
      </c>
      <c r="B47" s="1">
        <v>0.48183422467874226</v>
      </c>
      <c r="C47" s="1">
        <v>0.45071711775061141</v>
      </c>
    </row>
    <row r="48" spans="1:3">
      <c r="A48" s="2" t="s">
        <v>26</v>
      </c>
      <c r="B48" s="1">
        <v>1.0728683664602827</v>
      </c>
      <c r="C48" s="1">
        <v>0.4555646319150648</v>
      </c>
    </row>
    <row r="49" spans="1:40">
      <c r="A49" s="2"/>
    </row>
    <row r="52" spans="1:40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M52" s="2"/>
      <c r="AN52" s="3"/>
    </row>
    <row r="53" spans="1:40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M53" s="2"/>
      <c r="AN53" s="3"/>
    </row>
    <row r="54" spans="1:40"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M54" s="2"/>
      <c r="AN54" s="3"/>
    </row>
    <row r="55" spans="1:40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M55" s="2"/>
      <c r="AN55" s="3"/>
    </row>
    <row r="56" spans="1:40"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M56" s="2"/>
      <c r="AN56" s="3"/>
    </row>
    <row r="57" spans="1:40"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M57" s="2"/>
      <c r="AN57" s="3"/>
    </row>
    <row r="58" spans="1:40"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M58" s="2"/>
      <c r="AN58" s="3"/>
    </row>
    <row r="59" spans="1:40"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M59" s="2"/>
      <c r="AN59" s="3"/>
    </row>
    <row r="60" spans="1:40">
      <c r="AM60" s="2"/>
    </row>
  </sheetData>
  <phoneticPr fontId="3"/>
  <pageMargins left="0.7" right="0.7" top="0.75" bottom="0.75" header="0.3" footer="0.3"/>
  <pageSetup paperSize="9" scale="1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251007_Xtot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桑原涼歌</dc:creator>
  <cp:lastModifiedBy>涼歌 桑原</cp:lastModifiedBy>
  <dcterms:created xsi:type="dcterms:W3CDTF">2015-06-05T18:19:34Z</dcterms:created>
  <dcterms:modified xsi:type="dcterms:W3CDTF">2025-10-08T08:10:33Z</dcterms:modified>
</cp:coreProperties>
</file>